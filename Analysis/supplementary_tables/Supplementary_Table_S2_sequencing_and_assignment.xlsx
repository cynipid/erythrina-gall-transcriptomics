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222fab14b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2" sheetId="1" r:id="R2ffb2b490e11497f"/>
    <x:sheet xmlns:r="http://schemas.openxmlformats.org/officeDocument/2006/relationships" name="Sequencing by lane" sheetId="2" r:id="R085c717dafaa4d20"/>
    <x:sheet xmlns:r="http://schemas.openxmlformats.org/officeDocument/2006/relationships" name="Strandedness comparison" sheetId="3" r:id="R1cfe67780f9e4700"/>
    <x:sheet xmlns:r="http://schemas.openxmlformats.org/officeDocument/2006/relationships" name="STAR mapping" sheetId="4" r:id="R2b71196c3d6944d6"/>
  </x:sheets>
</x:workbook>
</file>

<file path=xl/sharedStrings.xml><?xml version="1.0" encoding="utf-8"?>
<x:sst xmlns:x="http://schemas.openxmlformats.org/spreadsheetml/2006/main">
  <x:si>
    <x:r>
      <x:t xml:space="preserve">Supplementary Table S2. Gene-assignment statistics for the six </x:t>
    </x:r>
    <x:r>
      <x:rPr>
        <x:b/>
        <x:i/>
        <x:sz val="10"/>
        <x:color theme="1"/>
        <x:rFont val="Times New Roman"/>
        <x:family val="1"/>
      </x:rPr>
      <x:t xml:space="preserve">Q. erythrinae </x:t>
    </x:r>
    <x:r>
      <x:rPr>
        <x:b/>
        <x:sz val="10"/>
        <x:color theme="1"/>
        <x:rFont val="Times New Roman"/>
        <x:family val="1"/>
      </x:rPr>
      <x:t xml:space="preserve">RNA-seq libraries. Gene-level paired-end fragment counts were generated using featureCounts v2.1.1 in reverse-stranded mode.</x:t>
    </x:r>
  </x:si>
  <x:si>
    <x:t xml:space="preserve">Original Alignment ID</x:t>
  </x:si>
  <x:si>
    <x:t xml:space="preserve">Sample Code</x:t>
  </x:si>
  <x:si>
    <x:t xml:space="preserve">Original Alignment ID2</x:t>
  </x:si>
  <x:si>
    <x:t xml:space="preserve">Assigned Fragments</x:t>
  </x:si>
  <x:si>
    <x:r>
      <x:t xml:space="preserve">Q. erythrinae </x:t>
    </x:r>
    <x:r>
      <x:rPr>
        <x:sz val="10"/>
        <x:color theme="1"/>
        <x:rFont val="Times New Roman"/>
        <x:family val="1"/>
      </x:rPr>
      <x:t xml:space="preserve">Larval Pool 1</x:t>
    </x:r>
  </x:si>
  <x:si>
    <x:t xml:space="preserve">L1</x:t>
  </x:si>
  <x:si>
    <x:r>
      <x:t xml:space="preserve">Q. erythrinae </x:t>
    </x:r>
    <x:r>
      <x:rPr>
        <x:sz val="10"/>
        <x:color theme="1"/>
        <x:rFont val="Times New Roman"/>
        <x:family val="1"/>
      </x:rPr>
      <x:t xml:space="preserve">Larval Pool 2</x:t>
    </x:r>
  </x:si>
  <x:si>
    <x:t xml:space="preserve">L2</x:t>
  </x:si>
  <x:si>
    <x:t xml:space="preserve">L3</x:t>
  </x:si>
  <x:si>
    <x:r>
      <x:t xml:space="preserve">Q. erythrinae</x:t>
    </x:r>
    <x:r>
      <x:rPr>
        <x:sz val="10"/>
        <x:color theme="1"/>
        <x:rFont val="Times New Roman"/>
        <x:family val="1"/>
      </x:rPr>
      <x:t xml:space="preserve"> Larval Pool 3</x:t>
    </x:r>
  </x:si>
  <x:si>
    <x:t xml:space="preserve">L4</x:t>
  </x:si>
  <x:si>
    <x:r>
      <x:t xml:space="preserve">Q. erythrinae </x:t>
    </x:r>
    <x:r>
      <x:rPr>
        <x:sz val="10"/>
        <x:color theme="1"/>
        <x:rFont val="Times New Roman"/>
        <x:family val="1"/>
      </x:rPr>
      <x:t xml:space="preserve">Pupal Pool 1</x:t>
    </x:r>
  </x:si>
  <x:si>
    <x:t xml:space="preserve">P1</x:t>
  </x:si>
  <x:si>
    <x:t xml:space="preserve">P3</x:t>
  </x:si>
  <x:si>
    <x:r>
      <x:t xml:space="preserve">Q. erythrinae </x:t>
    </x:r>
    <x:r>
      <x:rPr>
        <x:sz val="10"/>
        <x:color theme="1"/>
        <x:rFont val="Times New Roman"/>
        <x:family val="1"/>
      </x:rPr>
      <x:t xml:space="preserve">Pupal Pool 2</x:t>
    </x:r>
  </x:si>
  <x:si>
    <x:t xml:space="preserve">P2</x:t>
  </x:si>
  <x:si>
    <x:t xml:space="preserve">P4</x:t>
  </x:si>
  <x:si>
    <x:r>
      <x:t xml:space="preserve">Q. erythrinae </x:t>
    </x:r>
    <x:r>
      <x:rPr>
        <x:sz val="10"/>
        <x:color theme="1"/>
        <x:rFont val="Times New Roman"/>
        <x:family val="1"/>
      </x:rPr>
      <x:t xml:space="preserve">Pupal Pool 3</x:t>
    </x:r>
  </x:si>
  <x:si>
    <x:t xml:space="preserve">P5</x:t>
  </x:si>
  <x:si>
    <x:t xml:space="preserve">Total</x:t>
  </x:si>
  <x:si>
    <x:t xml:space="preserve">Supplementary Table S2. Lane-specific sequencing yields for the 12 insect and plant RNA-seq libraries. Passing-filter (PF) clusters correspond to paired-end read pairs before fastp trimming. Facility sample identifiers are retained for traceability.</x:t>
  </x:si>
  <x:si>
    <x:t xml:space="preserve">Manuscript sample</x:t>
  </x:si>
  <x:si>
    <x:t xml:space="preserve">S1 sample code</x:t>
  </x:si>
  <x:si>
    <x:t xml:space="preserve">Facility sample</x:t>
  </x:si>
  <x:si>
    <x:t xml:space="preserve">Facility sample ID</x:t>
  </x:si>
  <x:si>
    <x:t xml:space="preserve">Lane 1 PF read pairs</x:t>
  </x:si>
  <x:si>
    <x:t xml:space="preserve">Lane 2 PF read pairs</x:t>
  </x:si>
  <x:si>
    <x:t xml:space="preserve">Total PF read pairs</x:t>
  </x:si>
  <x:si>
    <x:t xml:space="preserve">ST20-VA01</x:t>
  </x:si>
  <x:si>
    <x:t xml:space="preserve">ST20-VA03</x:t>
  </x:si>
  <x:si>
    <x:t xml:space="preserve">ST20-VA04</x:t>
  </x:si>
  <x:si>
    <x:t xml:space="preserve">ST20-VA08</x:t>
  </x:si>
  <x:si>
    <x:t xml:space="preserve">ST20-VA09</x:t>
  </x:si>
  <x:si>
    <x:t xml:space="preserve">ST20-VA10</x:t>
  </x:si>
  <x:si>
    <x:t xml:space="preserve">GP1</x:t>
  </x:si>
  <x:si>
    <x:t xml:space="preserve">PG1</x:t>
  </x:si>
  <x:si>
    <x:t xml:space="preserve">SG1</x:t>
  </x:si>
  <x:si>
    <x:t xml:space="preserve">ST20-VA16</x:t>
  </x:si>
  <x:si>
    <x:t xml:space="preserve">GP2</x:t>
  </x:si>
  <x:si>
    <x:t xml:space="preserve">PG2</x:t>
  </x:si>
  <x:si>
    <x:t xml:space="preserve">SG3</x:t>
  </x:si>
  <x:si>
    <x:t xml:space="preserve">ST20-VA18</x:t>
  </x:si>
  <x:si>
    <x:t xml:space="preserve">GP3</x:t>
  </x:si>
  <x:si>
    <x:t xml:space="preserve">PG3</x:t>
  </x:si>
  <x:si>
    <x:t xml:space="preserve">SG5</x:t>
  </x:si>
  <x:si>
    <x:t xml:space="preserve">ST20-VA20</x:t>
  </x:si>
  <x:si>
    <x:t xml:space="preserve">UP1</x:t>
  </x:si>
  <x:si>
    <x:t xml:space="preserve">PT1</x:t>
  </x:si>
  <x:si>
    <x:t xml:space="preserve">S2</x:t>
  </x:si>
  <x:si>
    <x:t xml:space="preserve">ST20-VA22</x:t>
  </x:si>
  <x:si>
    <x:t xml:space="preserve">UP2</x:t>
  </x:si>
  <x:si>
    <x:t xml:space="preserve">PT2</x:t>
  </x:si>
  <x:si>
    <x:t xml:space="preserve">S3</x:t>
  </x:si>
  <x:si>
    <x:t xml:space="preserve">ST20-VA23</x:t>
  </x:si>
  <x:si>
    <x:t xml:space="preserve">UP3</x:t>
  </x:si>
  <x:si>
    <x:t xml:space="preserve">PT3</x:t>
  </x:si>
  <x:si>
    <x:t xml:space="preserve">S4</x:t>
  </x:si>
  <x:si>
    <x:t xml:space="preserve">ST20-VA24</x:t>
  </x:si>
  <x:si>
    <x:t xml:space="preserve">Supplementary Table S2. Insect featureCounts strand-mode assignment comparison. Frozen paired-end fragment counts from the same six BAM files using featureCounts v2.1.1.</x:t>
  </x:si>
  <x:si>
    <x:t xml:space="preserve">Original BAM ID</x:t>
  </x:si>
  <x:si>
    <x:t xml:space="preserve">-s 0 assigned</x:t>
  </x:si>
  <x:si>
    <x:t xml:space="preserve">-s 0 rate</x:t>
  </x:si>
  <x:si>
    <x:t xml:space="preserve">-s 1 assigned</x:t>
  </x:si>
  <x:si>
    <x:t xml:space="preserve">-s 1 rate</x:t>
  </x:si>
  <x:si>
    <x:t xml:space="preserve">-s 2 assigned</x:t>
  </x:si>
  <x:si>
    <x:t xml:space="preserve">-s 2 rate</x:t>
  </x:si>
  <x:si>
    <x:t xml:space="preserve">Six libraries</x:t>
  </x:si>
  <x:si>
    <x:t xml:space="preserve">Reverse-stranded (-s 2) assignment agrees with the final gene-count matrix (197,811,434 assigned fragments across six libraries).</x:t>
  </x:si>
  <x:si>
    <x:t xml:space="preserve">Source: frozen featureCounts strandedness-test log; options -p --countReadPairs -B -C -t exon -g locus_tag, varying only -s 0/1/2.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</x:si>
</x:sst>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14">
    <x:font>
      <x:sz val="11"/>
      <x:color theme="1"/>
      <x:name val="Aptos Narrow"/>
      <x:family val="2"/>
      <x:scheme val="minor"/>
    </x:font>
    <x:font>
      <x:b/>
      <x:sz val="10"/>
      <x:name val="Times New Roman"/>
      <x:family val="1"/>
    </x:font>
    <x:font>
      <x:sz val="10"/>
      <x:color theme="1"/>
      <x:name val="Times New Roman"/>
      <x:family val="1"/>
    </x:font>
    <x:font>
      <x:b/>
      <x:sz val="10"/>
      <x:color rgb="FFFFFFFF"/>
      <x:name val="Times New Roman"/>
      <x:family val="1"/>
    </x:font>
    <x:font>
      <x:sz val="10"/>
      <x:color rgb="FF1D2939"/>
      <x:name val="Times New Roman"/>
      <x:family val="1"/>
    </x:font>
    <x:font>
      <x:b/>
      <x:sz val="10"/>
      <x:color rgb="FF17365D"/>
      <x:name val="Times New Roman"/>
      <x:family val="1"/>
    </x:font>
    <x:font>
      <x:sz val="10"/>
      <x:color rgb="FF475467"/>
      <x:name val="Times New Roman"/>
      <x:family val="1"/>
    </x:font>
    <x:font>
      <x:b/>
      <x:sz val="10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i/>
      <x:sz val="10"/>
      <x:color theme="1"/>
      <x:name val="Times New Roman"/>
      <x:family val="1"/>
    </x:font>
    <x:font>
      <x:i/>
      <x:sz val="10"/>
      <x:color theme="1"/>
      <x:name val="Times New Roman"/>
      <x:family val="1"/>
    </x:font>
    <x:font>
      <x:sz val="10"/>
      <x:color rgb="FF172B4D"/>
      <x:name val="Arial"/>
      <x:family val="2"/>
      <x:scheme val="minor"/>
    </x:font>
    <x:font>
      <x:b/>
      <x:sz val="11"/>
      <x:color rgb="FF172B4D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315879"/>
      </x:patternFill>
    </x:fill>
    <x:fill>
      <x:patternFill patternType="solid">
        <x:fgColor rgb="FFF2F6FA"/>
      </x:patternFill>
    </x:fill>
    <x:fill>
      <x:patternFill patternType="solid">
        <x:fgColor rgb="FFE0EAF3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0" xfId="0" applyFont="1"/>
    <x:xf numFmtId="0" fontId="3" fillId="3" borderId="0" xfId="0" applyFont="1" applyFill="1" applyAlignment="1">
      <x:alignment vertical="center" wrapText="1"/>
    </x:xf>
    <x:xf numFmtId="0" fontId="4" fillId="0" borderId="0" xfId="0" applyFont="1"/>
    <x:xf numFmtId="3" fontId="4" fillId="0" borderId="0" xfId="0" applyNumberFormat="1" applyFont="1"/>
    <x:xf numFmtId="10" fontId="4" fillId="0" borderId="0" xfId="0" applyNumberFormat="1" applyFont="1"/>
    <x:xf numFmtId="0" fontId="4" fillId="4" borderId="0" xfId="0" applyFont="1" applyFill="1"/>
    <x:xf numFmtId="3" fontId="4" fillId="4" borderId="0" xfId="0" applyNumberFormat="1" applyFont="1" applyFill="1"/>
    <x:xf numFmtId="10" fontId="4" fillId="4" borderId="0" xfId="0" applyNumberFormat="1" applyFont="1" applyFill="1"/>
    <x:xf numFmtId="0" fontId="5" fillId="5" borderId="0" xfId="0" applyFont="1" applyFill="1"/>
    <x:xf numFmtId="3" fontId="5" fillId="5" borderId="0" xfId="0" applyNumberFormat="1" applyFont="1" applyFill="1"/>
    <x:xf numFmtId="10" fontId="5" fillId="5" borderId="0" xfId="0" applyNumberFormat="1" applyFont="1" applyFill="1"/>
    <x:xf numFmtId="0" fontId="7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/>
    <x:xf numFmtId="0" fontId="2" fillId="0" borderId="0" xfId="0" applyFont="1" applyAlignment="1">
      <x:alignment vertical="center" wrapText="1"/>
    </x:xf>
    <x:xf numFmtId="0" fontId="8" fillId="0" borderId="0" xfId="0" applyFont="1" applyAlignment="1">
      <x:alignment vertical="center"/>
    </x:xf>
    <x:xf numFmtId="3" fontId="2" fillId="0" borderId="0" xfId="0" applyNumberFormat="1" applyFont="1"/>
    <x:xf numFmtId="0" fontId="2" fillId="2" borderId="0" xfId="0" applyFont="1" applyFill="1"/>
    <x:xf numFmtId="0" fontId="10" fillId="0" borderId="0" xfId="0" applyFont="1"/>
    <x:xf numFmtId="0" fontId="7" fillId="2" borderId="0" xfId="0" applyFont="1" applyFill="1" applyAlignment="1">
      <x:alignment horizontal="left"/>
    </x:xf>
    <x:xf numFmtId="0" fontId="1" fillId="0" borderId="0" xfId="0" applyFont="1" applyAlignment="1">
      <x:alignment vertical="center"/>
    </x:xf>
    <x:xf numFmtId="0" fontId="6" fillId="0" borderId="0" xfId="0" applyFont="1" applyAlignment="1">
      <x:alignment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horizont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6"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u val="none"/>
        <x:sz val="10"/>
        <x:name val="Times New Roman"/>
        <x:family val="1"/>
        <x:scheme val="none"/>
      </x:font>
    </x:dxf>
    <x:dxf>
      <x:font>
        <x:b/>
        <x:u val="none"/>
        <x:sz val="10"/>
        <x:color rgb="FFFFFFFF"/>
        <x:name val="Times New Roman"/>
        <x:family val="1"/>
        <x:scheme val="none"/>
      </x:font>
      <x:fill>
        <x:patternFill>
          <x:bgColor indexed="64"/>
        </x:patternFill>
      </x:fill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  <x:dxf>
      <x:font>
        <x:u val="none"/>
        <x:sz val="10"/>
        <x:color theme="1"/>
        <x:name val="Times New Roman"/>
        <x:family val="1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d5bb5d58e481e" /><Relationship Type="http://schemas.openxmlformats.org/officeDocument/2006/relationships/theme" Target="/xl/theme/theme1.xml" Id="R800df7bff9384f11" /><Relationship Type="http://schemas.openxmlformats.org/officeDocument/2006/relationships/sharedStrings" Target="/xl/sharedStrings.xml" Id="R111916d22a224c4c" /><Relationship Type="http://schemas.openxmlformats.org/officeDocument/2006/relationships/worksheet" Target="/xl/worksheets/sheet1.xml" Id="R2ffb2b490e11497f" /><Relationship Type="http://schemas.openxmlformats.org/officeDocument/2006/relationships/worksheet" Target="/xl/worksheets/sheet2.xml" Id="R085c717dafaa4d20" /><Relationship Type="http://schemas.openxmlformats.org/officeDocument/2006/relationships/worksheet" Target="/xl/worksheets/sheet3.xml" Id="R1cfe67780f9e4700" /><Relationship Type="http://schemas.openxmlformats.org/officeDocument/2006/relationships/worksheet" Target="/xl/worksheets/sheet4.xml" Id="R2b71196c3d6944d6" /></Relationships>
</file>

<file path=xl/tables/table1.xml><?xml version="1.0" encoding="utf-8"?>
<x:table xmlns:x="http://schemas.openxmlformats.org/spreadsheetml/2006/main" id="1" name="Table1" displayName="Table1" ref="A2:D9" totalsRowShown="0" dataDxfId="24">
  <x:autoFilter ref="A2:D9"/>
  <x:tableColumns count="4">
    <x:tableColumn id="1" name="Original Alignment ID" dataDxfId="23"/>
    <x:tableColumn id="2" name="Sample Code" dataDxfId="22"/>
    <x:tableColumn id="3" name="Original Alignment ID2" dataDxfId="21"/>
    <x:tableColumn id="4" name="Assigned Fragments" dataDxfId="20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2LaneSequencing" displayName="S2LaneSequencing" ref="A2:G14" totalsRowShown="0" dataDxfId="18">
  <x:autoFilter ref="A2:G14"/>
  <x:tableColumns count="7">
    <x:tableColumn id="1" name="Manuscript sample" dataDxfId="17"/>
    <x:tableColumn id="2" name="S1 sample code" dataDxfId="16"/>
    <x:tableColumn id="3" name="Facility sample" dataDxfId="15"/>
    <x:tableColumn id="4" name="Facility sample ID" dataDxfId="14"/>
    <x:tableColumn id="5" name="Lane 1 PF read pairs" dataDxfId="13"/>
    <x:tableColumn id="6" name="Lane 2 PF read pairs" dataDxfId="12"/>
    <x:tableColumn id="7" name="Total PF read pairs" dataDxfId="11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2:I9" totalsRowShown="0" dataDxfId="9">
  <x:autoFilter ref="A2:I9"/>
  <x:tableColumns count="9">
    <x:tableColumn id="1" name="Manuscript sample" dataDxfId="8"/>
    <x:tableColumn id="2" name="Original BAM ID" dataDxfId="7"/>
    <x:tableColumn id="3" name="Total alignments assessed" dataDxfId="6"/>
    <x:tableColumn id="4" name="-s 0 assigned" dataDxfId="5"/>
    <x:tableColumn id="5" name="-s 0 rate" dataDxfId="4">
      <x:calculatedColumnFormula>D3/C3</x:calculatedColumnFormula>
    </x:tableColumn>
    <x:tableColumn id="6" name="-s 1 assigned" dataDxfId="3"/>
    <x:tableColumn id="7" name="-s 1 rate" dataDxfId="2">
      <x:calculatedColumnFormula>F3/C3</x:calculatedColumnFormula>
    </x:tableColumn>
    <x:tableColumn id="8" name="-s 2 assigned" dataDxfId="1"/>
    <x:tableColumn id="9" name="-s 2 rate" dataDxfId="0">
      <x:calculatedColumnFormula>H3/C3</x:calculatedColumnFormula>
    </x:tableColumn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TARMapping" displayName="STARMapping" ref="A2:J8" headerRowCount="1" totalsRowCount="0" totalsRowShown="0">
  <x:autoFilter ref="A2:J8"/>
  <x:tableColumns count="10">
    <x:tableColumn id="1" name="Manuscript sample"/>
    <x:tableColumn id="2" name="Original alignment ID"/>
    <x:tableColumn id="3" name="Input read pairs"/>
    <x:tableColumn id="4" name="Uniquely mapped pairs"/>
    <x:tableColumn id="5" name="Uniquely mapped (%)"/>
    <x:tableColumn id="6" name="Multiple loci (%)"/>
    <x:tableColumn id="7" name="Too many loci (%)"/>
    <x:tableColumn id="8" name="Unmapped: too short (%)"/>
    <x:tableColumn id="9" name="Unmapped: other (%)"/>
    <x:tableColumn id="10" name="Mismatch per base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6451e55caf40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e2031f45a644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f3e889fc2c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ad03d179bf4f3d" /></Relationships>
</file>

<file path=xl/worksheets/sheet1.xml><?xml version="1.0" encoding="utf-8"?>
<x:worksheet xmlns:x="http://schemas.openxmlformats.org/spreadsheetml/2006/main">
  <x:sheetFormatPr defaultRowHeight="12.75"/>
  <x:cols>
    <x:col min="1" max="1" width="27.28515625" style="18" customWidth="1"/>
    <x:col min="2" max="2" width="16" style="18" customWidth="1"/>
    <x:col min="3" max="3" width="24.85546875" style="18" customWidth="1"/>
    <x:col min="4" max="4" width="23" style="18" customWidth="1"/>
    <x:col min="5" max="16384" width="9.140625" style="18" customWidth="0"/>
  </x:cols>
  <x:sheetData>
    <x:row r="1" ht="13.5">
      <x:c r="A1" s="20" t="s">
        <x:v>0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</x:row>
    <x:row r="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s="19" t="s">
        <x:v>5</x:v>
      </x:c>
      <x:c r="B3" s="1" t="s">
        <x:v>6</x:v>
      </x:c>
      <x:c r="C3" s="1" t="s">
        <x:v>6</x:v>
      </x:c>
      <x:c r="D3" s="1">
        <x:v>35474182</x:v>
      </x:c>
    </x:row>
    <x:row r="4">
      <x:c r="A4" s="19" t="s">
        <x:v>7</x:v>
      </x:c>
      <x:c r="B4" s="1" t="s">
        <x:v>8</x:v>
      </x:c>
      <x:c r="C4" s="1" t="s">
        <x:v>9</x:v>
      </x:c>
      <x:c r="D4" s="1">
        <x:v>37349162</x:v>
      </x:c>
    </x:row>
    <x:row r="5">
      <x:c r="A5" s="19" t="s">
        <x:v>10</x:v>
      </x:c>
      <x:c r="B5" s="1" t="s">
        <x:v>9</x:v>
      </x:c>
      <x:c r="C5" s="1" t="s">
        <x:v>11</x:v>
      </x:c>
      <x:c r="D5" s="1">
        <x:v>32139868</x:v>
      </x:c>
    </x:row>
    <x:row r="6">
      <x:c r="A6" s="19" t="s">
        <x:v>12</x:v>
      </x:c>
      <x:c r="B6" s="1" t="s">
        <x:v>13</x:v>
      </x:c>
      <x:c r="C6" s="1" t="s">
        <x:v>14</x:v>
      </x:c>
      <x:c r="D6" s="1">
        <x:v>32821829</x:v>
      </x:c>
    </x:row>
    <x:row r="7">
      <x:c r="A7" s="19" t="s">
        <x:v>15</x:v>
      </x:c>
      <x:c r="B7" s="1" t="s">
        <x:v>16</x:v>
      </x:c>
      <x:c r="C7" s="1" t="s">
        <x:v>17</x:v>
      </x:c>
      <x:c r="D7" s="1">
        <x:v>30648117</x:v>
      </x:c>
    </x:row>
    <x:row r="8">
      <x:c r="A8" s="19" t="s">
        <x:v>18</x:v>
      </x:c>
      <x:c r="B8" s="1" t="s">
        <x:v>14</x:v>
      </x:c>
      <x:c r="C8" s="1" t="s">
        <x:v>19</x:v>
      </x:c>
      <x:c r="D8" s="1">
        <x:v>29378276</x:v>
      </x:c>
    </x:row>
    <x:row r="9">
      <x:c r="A9" s="1" t="s">
        <x:v>20</x:v>
      </x:c>
      <x:c r="B9" s="1"/>
      <x:c r="C9" s="1"/>
      <x:c r="D9" s="1">
        <x:v>197811434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e56451e55caf408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style="14" customWidth="1"/>
    <x:col min="2" max="3" width="17" style="14" customWidth="1"/>
    <x:col min="4" max="4" width="19" style="14" customWidth="1"/>
    <x:col min="5" max="7" width="24" style="14" customWidth="1"/>
    <x:col min="8" max="16384" width="9.140625" style="14" customWidth="0"/>
  </x:cols>
  <x:sheetData>
    <x:row r="1" ht="20.100000381469727" customHeight="1">
      <x:c r="A1" s="12" t="s">
        <x:v>21</x:v>
      </x:c>
      <x:c r="B1" s="13"/>
      <x:c r="C1" s="13"/>
      <x:c r="D1" s="13"/>
      <x:c r="E1" s="1"/>
      <x:c r="F1" s="1"/>
      <x:c r="G1" s="1"/>
    </x:row>
    <x:row r="2" s="16" customFormat="1">
      <x:c r="A2" s="15" t="s">
        <x:v>22</x:v>
      </x:c>
      <x:c r="B2" s="15" t="s">
        <x:v>23</x:v>
      </x:c>
      <x:c r="C2" s="15" t="s">
        <x:v>24</x:v>
      </x:c>
      <x:c r="D2" s="15" t="s">
        <x:v>25</x:v>
      </x:c>
      <x:c r="E2" s="15" t="s">
        <x:v>26</x:v>
      </x:c>
      <x:c r="F2" s="15" t="s">
        <x:v>27</x:v>
      </x:c>
      <x:c r="G2" s="15" t="s">
        <x:v>28</x:v>
      </x:c>
    </x:row>
    <x:row r="3">
      <x:c r="A3" s="13" t="s">
        <x:v>6</x:v>
      </x:c>
      <x:c r="B3" s="13" t="s">
        <x:v>6</x:v>
      </x:c>
      <x:c r="C3" s="13" t="s">
        <x:v>6</x:v>
      </x:c>
      <x:c r="D3" s="13" t="s">
        <x:v>29</x:v>
      </x:c>
      <x:c r="E3" s="17">
        <x:v>22220908</x:v>
      </x:c>
      <x:c r="F3" s="17">
        <x:v>22075972</x:v>
      </x:c>
      <x:c r="G3" s="17" t="n">
        <x:f t="shared" ref="G3:G14" si="0">E3+F3</x:f>
        <x:v>44296880</x:v>
      </x:c>
    </x:row>
    <x:row r="4">
      <x:c r="A4" s="13" t="s">
        <x:v>8</x:v>
      </x:c>
      <x:c r="B4" s="13" t="s">
        <x:v>8</x:v>
      </x:c>
      <x:c r="C4" s="13" t="s">
        <x:v>9</x:v>
      </x:c>
      <x:c r="D4" s="13" t="s">
        <x:v>30</x:v>
      </x:c>
      <x:c r="E4" s="17">
        <x:v>22364802</x:v>
      </x:c>
      <x:c r="F4" s="17">
        <x:v>22311963</x:v>
      </x:c>
      <x:c r="G4" s="17">
        <x:f t="shared" si="0"/>
        <x:v>44676765</x:v>
      </x:c>
    </x:row>
    <x:row r="5">
      <x:c r="A5" s="13" t="s">
        <x:v>9</x:v>
      </x:c>
      <x:c r="B5" s="13" t="s">
        <x:v>9</x:v>
      </x:c>
      <x:c r="C5" s="13" t="s">
        <x:v>11</x:v>
      </x:c>
      <x:c r="D5" s="13" t="s">
        <x:v>31</x:v>
      </x:c>
      <x:c r="E5" s="17">
        <x:v>21851458</x:v>
      </x:c>
      <x:c r="F5" s="17">
        <x:v>21804426</x:v>
      </x:c>
      <x:c r="G5" s="17">
        <x:f t="shared" si="0"/>
        <x:v>43655884</x:v>
      </x:c>
    </x:row>
    <x:row r="6">
      <x:c r="A6" s="13" t="s">
        <x:v>13</x:v>
      </x:c>
      <x:c r="B6" s="13" t="s">
        <x:v>13</x:v>
      </x:c>
      <x:c r="C6" s="13" t="s">
        <x:v>14</x:v>
      </x:c>
      <x:c r="D6" s="13" t="s">
        <x:v>32</x:v>
      </x:c>
      <x:c r="E6" s="17">
        <x:v>20672959</x:v>
      </x:c>
      <x:c r="F6" s="17">
        <x:v>20548392</x:v>
      </x:c>
      <x:c r="G6" s="17">
        <x:f t="shared" si="0"/>
        <x:v>41221351</x:v>
      </x:c>
    </x:row>
    <x:row r="7">
      <x:c r="A7" s="13" t="s">
        <x:v>16</x:v>
      </x:c>
      <x:c r="B7" s="13" t="s">
        <x:v>16</x:v>
      </x:c>
      <x:c r="C7" s="13" t="s">
        <x:v>17</x:v>
      </x:c>
      <x:c r="D7" s="13" t="s">
        <x:v>33</x:v>
      </x:c>
      <x:c r="E7" s="17">
        <x:v>18900398</x:v>
      </x:c>
      <x:c r="F7" s="17">
        <x:v>18764653</x:v>
      </x:c>
      <x:c r="G7" s="17">
        <x:f t="shared" si="0"/>
        <x:v>37665051</x:v>
      </x:c>
    </x:row>
    <x:row r="8">
      <x:c r="A8" s="13" t="s">
        <x:v>14</x:v>
      </x:c>
      <x:c r="B8" s="13" t="s">
        <x:v>14</x:v>
      </x:c>
      <x:c r="C8" s="13" t="s">
        <x:v>19</x:v>
      </x:c>
      <x:c r="D8" s="13" t="s">
        <x:v>34</x:v>
      </x:c>
      <x:c r="E8" s="17">
        <x:v>18406891</x:v>
      </x:c>
      <x:c r="F8" s="17">
        <x:v>18304631</x:v>
      </x:c>
      <x:c r="G8" s="17">
        <x:f t="shared" si="0"/>
        <x:v>36711522</x:v>
      </x:c>
    </x:row>
    <x:row r="9">
      <x:c r="A9" s="13" t="s">
        <x:v>35</x:v>
      </x:c>
      <x:c r="B9" s="13" t="s">
        <x:v>36</x:v>
      </x:c>
      <x:c r="C9" s="13" t="s">
        <x:v>37</x:v>
      </x:c>
      <x:c r="D9" s="13" t="s">
        <x:v>38</x:v>
      </x:c>
      <x:c r="E9" s="17">
        <x:v>21918112</x:v>
      </x:c>
      <x:c r="F9" s="17">
        <x:v>21841265</x:v>
      </x:c>
      <x:c r="G9" s="17">
        <x:f t="shared" si="0"/>
        <x:v>43759377</x:v>
      </x:c>
    </x:row>
    <x:row r="10">
      <x:c r="A10" s="13" t="s">
        <x:v>39</x:v>
      </x:c>
      <x:c r="B10" s="13" t="s">
        <x:v>40</x:v>
      </x:c>
      <x:c r="C10" s="13" t="s">
        <x:v>41</x:v>
      </x:c>
      <x:c r="D10" s="13" t="s">
        <x:v>42</x:v>
      </x:c>
      <x:c r="E10" s="17">
        <x:v>19669715</x:v>
      </x:c>
      <x:c r="F10" s="17">
        <x:v>19562647</x:v>
      </x:c>
      <x:c r="G10" s="17">
        <x:f t="shared" si="0"/>
        <x:v>39232362</x:v>
      </x:c>
    </x:row>
    <x:row r="11">
      <x:c r="A11" s="13" t="s">
        <x:v>43</x:v>
      </x:c>
      <x:c r="B11" s="13" t="s">
        <x:v>44</x:v>
      </x:c>
      <x:c r="C11" s="13" t="s">
        <x:v>45</x:v>
      </x:c>
      <x:c r="D11" s="13" t="s">
        <x:v>46</x:v>
      </x:c>
      <x:c r="E11" s="17">
        <x:v>20903065</x:v>
      </x:c>
      <x:c r="F11" s="17">
        <x:v>20887339</x:v>
      </x:c>
      <x:c r="G11" s="17">
        <x:f t="shared" si="0"/>
        <x:v>41790404</x:v>
      </x:c>
    </x:row>
    <x:row r="12">
      <x:c r="A12" s="13" t="s">
        <x:v>47</x:v>
      </x:c>
      <x:c r="B12" s="13" t="s">
        <x:v>48</x:v>
      </x:c>
      <x:c r="C12" s="13" t="s">
        <x:v>49</x:v>
      </x:c>
      <x:c r="D12" s="13" t="s">
        <x:v>50</x:v>
      </x:c>
      <x:c r="E12" s="17">
        <x:v>20645591</x:v>
      </x:c>
      <x:c r="F12" s="17">
        <x:v>20695220</x:v>
      </x:c>
      <x:c r="G12" s="17">
        <x:f t="shared" si="0"/>
        <x:v>41340811</x:v>
      </x:c>
    </x:row>
    <x:row r="13">
      <x:c r="A13" s="13" t="s">
        <x:v>51</x:v>
      </x:c>
      <x:c r="B13" s="13" t="s">
        <x:v>52</x:v>
      </x:c>
      <x:c r="C13" s="13" t="s">
        <x:v>53</x:v>
      </x:c>
      <x:c r="D13" s="13" t="s">
        <x:v>54</x:v>
      </x:c>
      <x:c r="E13" s="17">
        <x:v>20000720</x:v>
      </x:c>
      <x:c r="F13" s="17">
        <x:v>20037796</x:v>
      </x:c>
      <x:c r="G13" s="17">
        <x:f t="shared" si="0"/>
        <x:v>40038516</x:v>
      </x:c>
    </x:row>
    <x:row r="14">
      <x:c r="A14" s="13" t="s">
        <x:v>55</x:v>
      </x:c>
      <x:c r="B14" s="13" t="s">
        <x:v>56</x:v>
      </x:c>
      <x:c r="C14" s="13" t="s">
        <x:v>57</x:v>
      </x:c>
      <x:c r="D14" s="13" t="s">
        <x:v>58</x:v>
      </x:c>
      <x:c r="E14" s="17">
        <x:v>18097147</x:v>
      </x:c>
      <x:c r="F14" s="17">
        <x:v>18159276</x:v>
      </x:c>
      <x:c r="G14" s="17">
        <x:f t="shared" si="0"/>
        <x:v>36256423</x:v>
      </x:c>
    </x:row>
    <x:row r="15">
      <x:c r="A15" s="1"/>
      <x:c r="B15" s="1"/>
      <x:c r="C15" s="1"/>
      <x:c r="D15" s="1"/>
      <x:c r="E15" s="1"/>
      <x:c r="F15" s="1"/>
      <x:c r="G15" s="1"/>
    </x:row>
  </x:sheetData>
  <x:pageMargins left="0.7" right="0.7" top="0.75" bottom="0.75" header="0.3" footer="0.3"/>
  <x:tableParts count="1">
    <x:tablePart xmlns:r="http://schemas.openxmlformats.org/officeDocument/2006/relationships" r:id="Rb4e2031f45a644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2.75"/>
  <x:cols>
    <x:col min="1" max="1" width="20" style="1" customWidth="1"/>
    <x:col min="2" max="2" width="17.85546875" style="1" customWidth="1"/>
    <x:col min="3" max="3" width="17.5703125" style="1" customWidth="1"/>
    <x:col min="4" max="4" width="20" style="1" customWidth="1"/>
    <x:col min="5" max="5" width="15" style="1" customWidth="1"/>
    <x:col min="6" max="6" width="20" style="1" customWidth="1"/>
    <x:col min="7" max="7" width="15" style="1" customWidth="1"/>
    <x:col min="8" max="8" width="20" style="1" customWidth="1"/>
    <x:col min="9" max="9" width="15" style="1" customWidth="1"/>
    <x:col min="10" max="16384" width="9.140625" style="1" customWidth="0"/>
  </x:cols>
  <x:sheetData>
    <x:row r="1">
      <x:c r="A1" s="21" t="s">
        <x:v>59</x:v>
      </x:c>
      <x:c r="B1" s="21"/>
      <x:c r="C1" s="21"/>
      <x:c r="D1" s="21"/>
      <x:c r="E1" s="21"/>
      <x:c r="F1" s="21"/>
      <x:c r="G1" s="21"/>
      <x:c r="H1" s="21"/>
      <x:c r="I1" s="21"/>
    </x:row>
    <x:row r="2" ht="25.5">
      <x:c r="A2" s="2" t="s">
        <x:v>22</x:v>
      </x:c>
      <x:c r="B2" s="2" t="s">
        <x:v>60</x:v>
      </x:c>
      <x:c r="C2" s="2" t="str">
        <x:v>Total alignments assessed</x:v>
      </x:c>
      <x:c r="D2" s="2" t="s">
        <x:v>61</x:v>
      </x:c>
      <x:c r="E2" s="2" t="s">
        <x:v>62</x:v>
      </x:c>
      <x:c r="F2" s="2" t="s">
        <x:v>63</x:v>
      </x:c>
      <x:c r="G2" s="2" t="s">
        <x:v>64</x:v>
      </x:c>
      <x:c r="H2" s="2" t="s">
        <x:v>65</x:v>
      </x:c>
      <x:c r="I2" s="2" t="s">
        <x:v>66</x:v>
      </x:c>
    </x:row>
    <x:row r="3">
      <x:c r="A3" s="3" t="s">
        <x:v>6</x:v>
      </x:c>
      <x:c r="B3" s="3" t="s">
        <x:v>6</x:v>
      </x:c>
      <x:c r="C3" s="4">
        <x:v>41296988</x:v>
      </x:c>
      <x:c r="D3" s="4">
        <x:v>35464936</x:v>
      </x:c>
      <x:c r="E3" s="5" t="n">
        <x:f t="shared" ref="E3:E9" si="0">D3/C3</x:f>
        <x:v>0.8587777878619138</x:v>
      </x:c>
      <x:c r="F3" s="4">
        <x:v>767470</x:v>
      </x:c>
      <x:c r="G3" s="5" t="n">
        <x:f t="shared" ref="G3:G9" si="1">F3/C3</x:f>
        <x:v>0.01858416405574179</x:v>
      </x:c>
      <x:c r="H3" s="4">
        <x:v>35474182</x:v>
      </x:c>
      <x:c r="I3" s="5" t="n">
        <x:f t="shared" ref="I3:I9" si="2">H3/C3</x:f>
        <x:v>0.8590016782822031</x:v>
      </x:c>
    </x:row>
    <x:row r="4">
      <x:c r="A4" s="6" t="s">
        <x:v>8</x:v>
      </x:c>
      <x:c r="B4" s="6" t="s">
        <x:v>9</x:v>
      </x:c>
      <x:c r="C4" s="7">
        <x:v>43349931</x:v>
      </x:c>
      <x:c r="D4" s="7">
        <x:v>37351123</x:v>
      </x:c>
      <x:c r="E4" s="8">
        <x:f t="shared" si="0"/>
        <x:v>0.86161897235776452</x:v>
      </x:c>
      <x:c r="F4" s="7">
        <x:v>538374</x:v>
      </x:c>
      <x:c r="G4" s="8">
        <x:f t="shared" si="1"/>
        <x:v>1.2419258522003184E-2</x:v>
      </x:c>
      <x:c r="H4" s="7">
        <x:v>37349162</x:v>
      </x:c>
      <x:c r="I4" s="8">
        <x:f t="shared" si="2"/>
        <x:v>0.86157373583824159</x:v>
      </x:c>
    </x:row>
    <x:row r="5">
      <x:c r="A5" s="3" t="s">
        <x:v>9</x:v>
      </x:c>
      <x:c r="B5" s="3" t="s">
        <x:v>11</x:v>
      </x:c>
      <x:c r="C5" s="4">
        <x:v>38765848</x:v>
      </x:c>
      <x:c r="D5" s="4">
        <x:v>32137597</x:v>
      </x:c>
      <x:c r="E5" s="5">
        <x:f t="shared" si="0"/>
        <x:v>0.82901828950059342</x:v>
      </x:c>
      <x:c r="F5" s="4">
        <x:v>520455</x:v>
      </x:c>
      <x:c r="G5" s="5">
        <x:f t="shared" si="1"/>
        <x:v>1.3425605961205853E-2</x:v>
      </x:c>
      <x:c r="H5" s="4">
        <x:v>32139868</x:v>
      </x:c>
      <x:c r="I5" s="5">
        <x:f t="shared" si="2"/>
        <x:v>0.82907687199310076</x:v>
      </x:c>
    </x:row>
    <x:row r="6">
      <x:c r="A6" s="6" t="s">
        <x:v>13</x:v>
      </x:c>
      <x:c r="B6" s="6" t="s">
        <x:v>14</x:v>
      </x:c>
      <x:c r="C6" s="7">
        <x:v>39569079</x:v>
      </x:c>
      <x:c r="D6" s="7">
        <x:v>32786933</x:v>
      </x:c>
      <x:c r="E6" s="8">
        <x:f t="shared" si="0"/>
        <x:v>0.82859985191972751</x:v>
      </x:c>
      <x:c r="F6" s="7">
        <x:v>938546</x:v>
      </x:c>
      <x:c r="G6" s="8">
        <x:f t="shared" si="1"/>
        <x:v>2.371917728992378E-2</x:v>
      </x:c>
      <x:c r="H6" s="7">
        <x:v>32821829</x:v>
      </x:c>
      <x:c r="I6" s="8">
        <x:f t="shared" si="2"/>
        <x:v>0.82948175265843316</x:v>
      </x:c>
    </x:row>
    <x:row r="7">
      <x:c r="A7" s="3" t="s">
        <x:v>16</x:v>
      </x:c>
      <x:c r="B7" s="3" t="s">
        <x:v>17</x:v>
      </x:c>
      <x:c r="C7" s="4">
        <x:v>36739690</x:v>
      </x:c>
      <x:c r="D7" s="4">
        <x:v>30517761</x:v>
      </x:c>
      <x:c r="E7" s="5">
        <x:f t="shared" si="0"/>
        <x:v>0.83064829888330571</x:v>
      </x:c>
      <x:c r="F7" s="4">
        <x:v>943887</x:v>
      </x:c>
      <x:c r="G7" s="5">
        <x:f t="shared" si="1"/>
        <x:v>2.5691207519715056E-2</x:v>
      </x:c>
      <x:c r="H7" s="4">
        <x:v>30648117</x:v>
      </x:c>
      <x:c r="I7" s="5">
        <x:f t="shared" si="2"/>
        <x:v>0.83419639632234244</x:v>
      </x:c>
    </x:row>
    <x:row r="8">
      <x:c r="A8" s="6" t="s">
        <x:v>14</x:v>
      </x:c>
      <x:c r="B8" s="6" t="s">
        <x:v>19</x:v>
      </x:c>
      <x:c r="C8" s="7">
        <x:v>35544571</x:v>
      </x:c>
      <x:c r="D8" s="7">
        <x:v>29314436</x:v>
      </x:c>
      <x:c r="E8" s="8">
        <x:f t="shared" si="0"/>
        <x:v>0.82472330303269104</x:v>
      </x:c>
      <x:c r="F8" s="7">
        <x:v>817036</x:v>
      </x:c>
      <x:c r="G8" s="8">
        <x:f t="shared" si="1"/>
        <x:v>2.2986238883006917E-2</x:v>
      </x:c>
      <x:c r="H8" s="7">
        <x:v>29378276</x:v>
      </x:c>
      <x:c r="I8" s="8">
        <x:f t="shared" si="2"/>
        <x:v>0.82651935790700637</x:v>
      </x:c>
    </x:row>
    <x:row r="9">
      <x:c r="A9" s="9" t="s">
        <x:v>20</x:v>
      </x:c>
      <x:c r="B9" s="9" t="s">
        <x:v>67</x:v>
      </x:c>
      <x:c r="C9" s="10" t="n">
        <x:f>SUM(C3:C8)</x:f>
        <x:v>235266107</x:v>
      </x:c>
      <x:c r="D9" s="10" t="n">
        <x:f>SUM(D3:D8)</x:f>
        <x:v>197572786</x:v>
      </x:c>
      <x:c r="E9" s="11">
        <x:f t="shared" si="0"/>
        <x:v>0.83978431283346733</x:v>
      </x:c>
      <x:c r="F9" s="10" t="n">
        <x:f>SUM(F3:F8)</x:f>
        <x:v>4525768</x:v>
      </x:c>
      <x:c r="G9" s="11">
        <x:f t="shared" si="1"/>
        <x:v>1.9236804050147351E-2</x:v>
      </x:c>
      <x:c r="H9" s="10" t="n">
        <x:f>SUM(H3:H8)</x:f>
        <x:v>197811434</x:v>
      </x:c>
      <x:c r="I9" s="11">
        <x:f t="shared" si="2"/>
        <x:v>0.84079868758996379</x:v>
      </x:c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</x:row>
    <x:row r="11">
      <x:c r="A11" s="22" t="str">
        <x:v>Rates = assigned counts divided by the featureCounts-reported total alignments for each BAM; these are not sequencing yields.</x:v>
      </x:c>
      <x:c r="B11" s="22"/>
      <x:c r="C11" s="22"/>
      <x:c r="D11" s="22"/>
      <x:c r="E11" s="22"/>
      <x:c r="F11" s="22"/>
      <x:c r="G11" s="22"/>
      <x:c r="H11" s="22"/>
      <x:c r="I11" s="22"/>
    </x:row>
    <x:row r="12">
      <x:c r="A12" s="22" t="s">
        <x:v>68</x:v>
      </x:c>
      <x:c r="B12" s="22"/>
      <x:c r="C12" s="22"/>
      <x:c r="D12" s="22"/>
      <x:c r="E12" s="22"/>
      <x:c r="F12" s="22"/>
      <x:c r="G12" s="22"/>
      <x:c r="H12" s="22"/>
      <x:c r="I12" s="22"/>
    </x:row>
    <x:row r="13">
      <x:c r="A13" s="22" t="s">
        <x:v>69</x:v>
      </x:c>
      <x:c r="B13" s="22"/>
      <x:c r="C13" s="22"/>
      <x:c r="D13" s="22"/>
      <x:c r="E13" s="22"/>
      <x:c r="F13" s="22"/>
      <x:c r="G13" s="22"/>
      <x:c r="H13" s="22"/>
      <x:c r="I13" s="22"/>
    </x:row>
  </x:sheetData>
  <x:mergeCells>
    <x:mergeCell ref="A1:I1"/>
    <x:mergeCell ref="A11:I11"/>
    <x:mergeCell ref="A12:I12"/>
    <x:mergeCell ref="A13:I13"/>
  </x:mergeCells>
  <x:pageMargins left="0.7" right="0.7" top="0.75" bottom="0.75" header="0.3" footer="0.3"/>
  <x:tableParts count="1">
    <x:tablePart xmlns:r="http://schemas.openxmlformats.org/officeDocument/2006/relationships" r:id="R18f3e889fc2c46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5" t="str">
        <x:v>Supplementary Table S2. STAR mapping statistics for the six insect RNA-seq libraries.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55" customHeight="1">
      <x:c r="A2" s="30" t="str">
        <x:v>Manuscript sample</x:v>
      </x:c>
      <x:c r="B2" s="30" t="str">
        <x:v>Original alignment ID</x:v>
      </x:c>
      <x:c r="C2" s="30" t="str">
        <x:v>Input read pairs</x:v>
      </x:c>
      <x:c r="D2" s="30" t="str">
        <x:v>Uniquely mapped pairs</x:v>
      </x:c>
      <x:c r="E2" s="30" t="str">
        <x:v>Uniquely mapped (%)</x:v>
      </x:c>
      <x:c r="F2" s="30" t="str">
        <x:v>Multiple loci (%)</x:v>
      </x:c>
      <x:c r="G2" s="30" t="str">
        <x:v>Too many loci (%)</x:v>
      </x:c>
      <x:c r="H2" s="30" t="str">
        <x:v>Unmapped: too short (%)</x:v>
      </x:c>
      <x:c r="I2" s="30" t="str">
        <x:v>Unmapped: other (%)</x:v>
      </x:c>
      <x:c r="J2" s="30" t="str">
        <x:v>Mismatch per base (%)</x:v>
      </x:c>
    </x:row>
    <x:row r="3" ht="23" customHeight="1">
      <x:c r="A3" s="23" t="str">
        <x:v>L1</x:v>
      </x:c>
      <x:c r="B3" s="23" t="str">
        <x:v>L1</x:v>
      </x:c>
      <x:c r="C3" s="31" t="n">
        <x:v>42362288</x:v>
      </x:c>
      <x:c r="D3" s="31" t="n">
        <x:v>39143252</x:v>
      </x:c>
      <x:c r="E3" s="32" t="n">
        <x:v>0.924</x:v>
      </x:c>
      <x:c r="F3" s="32" t="n">
        <x:v>0.0177</x:v>
      </x:c>
      <x:c r="G3" s="32" t="n">
        <x:v>0.0108</x:v>
      </x:c>
      <x:c r="H3" s="32" t="n">
        <x:v>0.045</x:v>
      </x:c>
      <x:c r="I3" s="32" t="n">
        <x:v>0.0024</x:v>
      </x:c>
      <x:c r="J3" s="32" t="n">
        <x:v>0.0018</x:v>
      </x:c>
    </x:row>
    <x:row r="4" ht="23" customHeight="1">
      <x:c r="A4" s="23" t="str">
        <x:v>L2</x:v>
      </x:c>
      <x:c r="B4" s="23" t="str">
        <x:v>L3</x:v>
      </x:c>
      <x:c r="C4" s="31" t="n">
        <x:v>43565678</x:v>
      </x:c>
      <x:c r="D4" s="31" t="n">
        <x:v>40637091</x:v>
      </x:c>
      <x:c r="E4" s="32" t="n">
        <x:v>0.9328</x:v>
      </x:c>
      <x:c r="F4" s="32" t="n">
        <x:v>0.0241</x:v>
      </x:c>
      <x:c r="G4" s="32" t="n">
        <x:v>0.0279</x:v>
      </x:c>
      <x:c r="H4" s="32" t="n">
        <x:v>0.009300000000000001</x:v>
      </x:c>
      <x:c r="I4" s="32" t="n">
        <x:v>0.0059</x:v>
      </x:c>
      <x:c r="J4" s="32" t="n">
        <x:v>0.0015</x:v>
      </x:c>
    </x:row>
    <x:row r="5" ht="23" customHeight="1">
      <x:c r="A5" s="23" t="str">
        <x:v>L3</x:v>
      </x:c>
      <x:c r="B5" s="23" t="str">
        <x:v>L4</x:v>
      </x:c>
      <x:c r="C5" s="31" t="n">
        <x:v>42501150</x:v>
      </x:c>
      <x:c r="D5" s="31" t="n">
        <x:v>35565685</x:v>
      </x:c>
      <x:c r="E5" s="32" t="n">
        <x:v>0.8368000000000001</x:v>
      </x:c>
      <x:c r="F5" s="32" t="n">
        <x:v>0.021400000000000002</x:v>
      </x:c>
      <x:c r="G5" s="32" t="n">
        <x:v>0.10710000000000001</x:v>
      </x:c>
      <x:c r="H5" s="32" t="n">
        <x:v>0.0104</x:v>
      </x:c>
      <x:c r="I5" s="32" t="n">
        <x:v>0.024399999999999998</x:v>
      </x:c>
      <x:c r="J5" s="32" t="n">
        <x:v>0.0016</x:v>
      </x:c>
    </x:row>
    <x:row r="6" ht="23" customHeight="1">
      <x:c r="A6" s="23" t="str">
        <x:v>P1</x:v>
      </x:c>
      <x:c r="B6" s="23" t="str">
        <x:v>P3</x:v>
      </x:c>
      <x:c r="C6" s="31" t="n">
        <x:v>39680690</x:v>
      </x:c>
      <x:c r="D6" s="31" t="n">
        <x:v>37902893</x:v>
      </x:c>
      <x:c r="E6" s="32" t="n">
        <x:v>0.9551999999999999</x:v>
      </x:c>
      <x:c r="F6" s="32" t="n">
        <x:v>0.013500000000000002</x:v>
      </x:c>
      <x:c r="G6" s="32" t="n">
        <x:v>0.0115</x:v>
      </x:c>
      <x:c r="H6" s="32" t="n">
        <x:v>0.0174</x:v>
      </x:c>
      <x:c r="I6" s="32" t="n">
        <x:v>0.0025</x:v>
      </x:c>
      <x:c r="J6" s="32" t="n">
        <x:v>0.0021</x:v>
      </x:c>
    </x:row>
    <x:row r="7" ht="23" customHeight="1">
      <x:c r="A7" s="23" t="str">
        <x:v>P2</x:v>
      </x:c>
      <x:c r="B7" s="23" t="str">
        <x:v>P4</x:v>
      </x:c>
      <x:c r="C7" s="31" t="n">
        <x:v>36359266</x:v>
      </x:c>
      <x:c r="D7" s="31" t="n">
        <x:v>34761356</x:v>
      </x:c>
      <x:c r="E7" s="32" t="n">
        <x:v>0.9561</x:v>
      </x:c>
      <x:c r="F7" s="32" t="n">
        <x:v>0.0181</x:v>
      </x:c>
      <x:c r="G7" s="32" t="n">
        <x:v>0.0108</x:v>
      </x:c>
      <x:c r="H7" s="32" t="n">
        <x:v>0.0128</x:v>
      </x:c>
      <x:c r="I7" s="32" t="n">
        <x:v>0.0023</x:v>
      </x:c>
      <x:c r="J7" s="32" t="n">
        <x:v>0.0022</x:v>
      </x:c>
    </x:row>
    <x:row r="8" ht="23" customHeight="1">
      <x:c r="A8" s="23" t="str">
        <x:v>P3</x:v>
      </x:c>
      <x:c r="B8" s="23" t="str">
        <x:v>P5</x:v>
      </x:c>
      <x:c r="C8" s="31" t="n">
        <x:v>35347799</x:v>
      </x:c>
      <x:c r="D8" s="31" t="n">
        <x:v>33985137</x:v>
      </x:c>
      <x:c r="E8" s="32" t="n">
        <x:v>0.9614</x:v>
      </x:c>
      <x:c r="F8" s="32" t="n">
        <x:v>0.014199999999999999</x:v>
      </x:c>
      <x:c r="G8" s="32" t="n">
        <x:v>0.009300000000000001</x:v>
      </x:c>
      <x:c r="H8" s="32" t="n">
        <x:v>0.0129</x:v>
      </x:c>
      <x:c r="I8" s="32" t="n">
        <x:v>0.0021</x:v>
      </x:c>
      <x:c r="J8" s="32" t="n">
        <x:v>0.0022</x:v>
      </x:c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</x:row>
    <x:row r="10" ht="27" customHeight="1">
      <x:c r="A10" s="34" t="str">
        <x:v>Source: original STAR Log.final.out and Log.out files for alignment IDs L1, L3, L4, P3, P4 and P5.</x:v>
      </x:c>
      <x:c r="B10" s="34"/>
      <x:c r="C10" s="34"/>
      <x:c r="D10" s="34"/>
      <x:c r="E10" s="34"/>
      <x:c r="F10" s="34"/>
      <x:c r="G10" s="34"/>
      <x:c r="H10" s="34"/>
      <x:c r="I10" s="34"/>
      <x:c r="J10" s="34"/>
    </x:row>
    <x:row r="11" ht="27" customHeight="1">
      <x:c r="A11" s="34" t="str">
        <x:v>STAR v2.7.10b. All libraries used one index generated from complete.genomic.fna and complete.genomic.gtf.</x:v>
      </x:c>
      <x:c r="B11" s="34"/>
      <x:c r="C11" s="34"/>
      <x:c r="D11" s="34"/>
      <x:c r="E11" s="34"/>
      <x:c r="F11" s="34"/>
      <x:c r="G11" s="34"/>
      <x:c r="H11" s="34"/>
      <x:c r="I11" s="34"/>
      <x:c r="J11" s="34"/>
    </x:row>
    <x:row r="12" ht="27" customHeight="1">
      <x:c r="A12" s="34" t="str">
        <x:v>Index settings: --sjdbOverhang 149 and --genomeSAindexNbases 13. Index generation and all mappings completed successfully.</x:v>
      </x:c>
      <x:c r="B12" s="34"/>
      <x:c r="C12" s="34"/>
      <x:c r="D12" s="34"/>
      <x:c r="E12" s="34"/>
      <x:c r="F12" s="34"/>
      <x:c r="G12" s="34"/>
      <x:c r="H12" s="34"/>
      <x:c r="I12" s="34"/>
      <x:c r="J12" s="34"/>
    </x:row>
    <x:row r="13" ht="27" customHeight="1">
      <x:c r="A13" s="34" t="str">
        <x:v>Mapping-category percentages use STAR input read pairs. Mismatch percentage is a per-base metric.</x:v>
      </x:c>
      <x:c r="B13" s="34"/>
      <x:c r="C13" s="34"/>
      <x:c r="D13" s="34"/>
      <x:c r="E13" s="34"/>
      <x:c r="F13" s="34"/>
      <x:c r="G13" s="34"/>
      <x:c r="H13" s="34"/>
      <x:c r="I13" s="34"/>
      <x:c r="J13" s="34"/>
    </x:row>
    <x:row r="14" ht="27" customHeight="1">
      <x:c r="A14" s="34" t="str">
        <x:v>STAR input read pairs and featureCounts-assessed alignments are distinct recorded totals with separate denominators.</x:v>
      </x:c>
      <x:c r="B14" s="34"/>
      <x:c r="C14" s="34"/>
      <x:c r="D14" s="34"/>
      <x:c r="E14" s="34"/>
      <x:c r="F14" s="34"/>
      <x:c r="G14" s="34"/>
      <x:c r="H14" s="34"/>
      <x:c r="I14" s="34"/>
      <x:c r="J14" s="34"/>
    </x:row>
    <x:row r="15" ht="27" customHeight="1">
      <x:c r="A15" s="34" t="str">
        <x:v>Unmapped: too many mismatches was 0.00% for every library. Multiple loci and too many loci are separate STAR categories.</x:v>
      </x:c>
      <x:c r="B15" s="34"/>
      <x:c r="C15" s="34"/>
      <x:c r="D15" s="34"/>
      <x:c r="E15" s="34"/>
      <x:c r="F15" s="34"/>
      <x:c r="G15" s="34"/>
      <x:c r="H15" s="34"/>
      <x:c r="I15" s="34"/>
      <x:c r="J15" s="34"/>
    </x:row>
    <x:row r="16" ht="27" customHeight="1">
      <x:c r="A16" s="34" t="str">
        <x:v>The original reason for choosing overhang 149 was not recorded. No direct comparison with overhang 125 was performed.</x:v>
      </x:c>
      <x:c r="B16" s="34"/>
      <x:c r="C16" s="34"/>
      <x:c r="D16" s="34"/>
      <x:c r="E16" s="34"/>
      <x:c r="F16" s="34"/>
      <x:c r="G16" s="34"/>
      <x:c r="H16" s="34"/>
      <x:c r="I16" s="34"/>
      <x:c r="J16" s="34"/>
    </x:row>
    <x:row r="17" ht="27" customHeight="1">
      <x:c r="A17" s="34" t="str">
        <x:v>These values summarize retained logs. No alignment, counting or differential-expression analysis was rerun.</x:v>
      </x:c>
      <x:c r="B17" s="34"/>
      <x:c r="C17" s="34"/>
      <x:c r="D17" s="34"/>
      <x:c r="E17" s="34"/>
      <x:c r="F17" s="34"/>
      <x:c r="G17" s="34"/>
      <x:c r="H17" s="34"/>
      <x:c r="I17" s="34"/>
      <x:c r="J17" s="34"/>
    </x:row>
  </x:sheetData>
  <x:mergeCells>
    <x:mergeCell ref="A1:J1"/>
    <x:mergeCell ref="A10:J10"/>
    <x:mergeCell ref="A11:J11"/>
    <x:mergeCell ref="A12:J12"/>
    <x:mergeCell ref="A13:J13"/>
    <x:mergeCell ref="A14:J14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edad03d179bf4f3d"/>
  </x:tableParts>
</x:worksheet>
</file>